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i\Downloads\"/>
    </mc:Choice>
  </mc:AlternateContent>
  <xr:revisionPtr revIDLastSave="0" documentId="13_ncr:1_{9DB6EBF2-A5B1-4685-948B-A0F994C3F50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ontgomery_Fleet_Equipment_Inve" sheetId="1" r:id="rId1"/>
    <sheet name="PIVOT TABLE 1" sheetId="5" r:id="rId2"/>
    <sheet name="PIVOT TABLE 2" sheetId="7" r:id="rId3"/>
    <sheet name="PIVOT TABLE 3" sheetId="9" r:id="rId4"/>
  </sheets>
  <definedNames>
    <definedName name="_xlnm._FilterDatabase" localSheetId="0" hidden="1">Montgomery_Fleet_Equipment_Inve!$A$1:$C$50</definedName>
  </definedNames>
  <calcPr calcId="191029"/>
  <pivotCaches>
    <pivotCache cacheId="9" r:id="rId5"/>
    <pivotCache cacheId="22" r:id="rId6"/>
    <pivotCache cacheId="2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" l="1"/>
  <c r="C54" i="1"/>
  <c r="C53" i="1"/>
  <c r="C52" i="1"/>
  <c r="C51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<sst xmlns="http://schemas.openxmlformats.org/spreadsheetml/2006/main" count="165" uniqueCount="37">
  <si>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</si>
  <si>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</si>
  <si>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</si>
  <si>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</si>
  <si>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</si>
  <si>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</si>
  <si>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</si>
  <si>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</si>
  <si>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</si>
  <si>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</si>
  <si>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</si>
  <si>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</si>
  <si>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</si>
  <si>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</si>
  <si>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</si>
  <si>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</si>
  <si>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</si>
  <si>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</si>
  <si>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</si>
  <si>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</si>
  <si>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</si>
  <si>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</si>
  <si>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</si>
  <si>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</si>
  <si>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</si>
  <si>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</si>
  <si>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</si>
  <si>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</si>
  <si>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</si>
  <si>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</si>
  <si>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MIN</t>
  </si>
  <si>
    <t>MAX</t>
  </si>
  <si>
    <t>COUNT</t>
  </si>
  <si>
    <t>AVERAGE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</si>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</sst>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 imandi" refreshedDate="46124.593533912041" createdVersion="8" refreshedVersion="8" minRefreshableVersion="3" recordCount="49" xr:uid="{FAD0B850-D3A5-43B7-B782-0FA14D67CF74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 pivotCacheId="45006634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 imandi" refreshedDate="46124.61022962963" createdVersion="8" refreshedVersion="8" minRefreshableVersion="3" recordCount="49" xr:uid="{A480F32F-12BB-42A0-9C33-89C6C6D6765A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 imandi" refreshedDate="46124.61082361111" createdVersion="8" refreshedVersion="8" minRefreshableVersion="3" recordCount="49" xr:uid="{D2F3BBDC-D882-4114-81F1-0696045897B8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6B015-D288-41AE-891F-925D52525C1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470D5-9D84-427E-99A3-FBFEF0BF0D5D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/>
      </items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0133D-91F7-4CEE-83D3-07FA80ED3278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/>
    </i>
    <i r="1">
      <x v="1"/>
    </i>
    <i r="1">
      <x v="6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60EDD-A4C7-42DF-B4D9-ED54ED30FEBB}" name="Table1" displayName="Table1" ref="A1:C51" totalsRowCount="1">
  <autoFilter ref="A1:C50" xr:uid="{9D560EDD-A4C7-42DF-B4D9-ED54ED30FEBB}"/>
  <tableColumns count="3">
    <tableColumn id="1" xr3:uid="{3A22BFD3-2E51-4060-945A-D5D7472134B2}" name="Department" totalsRowLabel="SUM"/>
    <tableColumn id="2" xr3:uid="{328D5EFF-E784-40BF-8D0E-61C165B0EEF3}" name="Equipment Class"/>
    <tableColumn id="3" xr3:uid="{18745407-74F8-4BEF-8A79-F25AF03CB427}" name="Equipment Count" totalsRowFunction="sum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workbookViewId="0">
      <selection activeCell="G19" sqref="G19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51" spans="1:3" x14ac:dyDescent="0.3">
      <c r="A51" t="s">
        <v>29</v>
      </c>
      <c r="C51">
        <f>SUBTOTAL(109,Table1[Equipment Count])</f>
        <v>1582</v>
      </c>
    </row>
    <row r="52" spans="1:3" x14ac:dyDescent="0.3">
      <c r="A52" t="s">
        <v>33</v>
      </c>
      <c r="C52">
        <f>AVERAGE(Table1[[#Data],[#Totals],[Equipment Count]])</f>
        <v>63.28</v>
      </c>
    </row>
    <row r="53" spans="1:3" x14ac:dyDescent="0.3">
      <c r="A53" t="s">
        <v>30</v>
      </c>
      <c r="C53">
        <f>MIN(C2:C52)</f>
        <v>1</v>
      </c>
    </row>
    <row r="54" spans="1:3" x14ac:dyDescent="0.3">
      <c r="A54" t="s">
        <v>31</v>
      </c>
      <c r="C54">
        <f>MAX(C2:C53)</f>
        <v>1582</v>
      </c>
    </row>
    <row r="55" spans="1:3" x14ac:dyDescent="0.3">
      <c r="A55" t="s">
        <v>32</v>
      </c>
      <c r="C55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3EC7-5EB8-4B67-B13A-83E553F8040D}">
  <dimension ref="A3:B16"/>
  <sheetViews>
    <sheetView workbookViewId="0">
      <selection activeCell="B4" sqref="B4"/>
    </sheetView>
  </sheetViews>
  <sheetFormatPr defaultRowHeight="14.4" x14ac:dyDescent="0.3"/>
  <cols>
    <col min="1" max="1" width="26.88671875" bestFit="1" customWidth="1"/>
    <col min="2" max="3" width="22.5546875" bestFit="1" customWidth="1"/>
    <col min="4" max="4" width="8" bestFit="1" customWidth="1"/>
    <col min="5" max="5" width="13.109375" bestFit="1" customWidth="1"/>
    <col min="6" max="6" width="25.109375" bestFit="1" customWidth="1"/>
    <col min="7" max="7" width="17.21875" bestFit="1" customWidth="1"/>
    <col min="8" max="8" width="22.44140625" bestFit="1" customWidth="1"/>
    <col min="9" max="9" width="10" bestFit="1" customWidth="1"/>
    <col min="10" max="10" width="12.77734375" bestFit="1" customWidth="1"/>
    <col min="11" max="11" width="19.6640625" bestFit="1" customWidth="1"/>
    <col min="12" max="12" width="18.21875" bestFit="1" customWidth="1"/>
    <col min="13" max="13" width="13.5546875" bestFit="1" customWidth="1"/>
    <col min="14" max="14" width="10.777343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 s="3">
        <v>1221</v>
      </c>
    </row>
    <row r="5" spans="1:2" x14ac:dyDescent="0.3">
      <c r="A5" s="2" t="s">
        <v>25</v>
      </c>
      <c r="B5" s="3">
        <v>16</v>
      </c>
    </row>
    <row r="6" spans="1:2" x14ac:dyDescent="0.3">
      <c r="A6" s="2" t="s">
        <v>24</v>
      </c>
      <c r="B6" s="3">
        <v>5</v>
      </c>
    </row>
    <row r="7" spans="1:2" x14ac:dyDescent="0.3">
      <c r="A7" s="2" t="s">
        <v>19</v>
      </c>
      <c r="B7" s="3">
        <v>85</v>
      </c>
    </row>
    <row r="8" spans="1:2" x14ac:dyDescent="0.3">
      <c r="A8" s="2" t="s">
        <v>18</v>
      </c>
      <c r="B8" s="3">
        <v>35</v>
      </c>
    </row>
    <row r="9" spans="1:2" x14ac:dyDescent="0.3">
      <c r="A9" s="2" t="s">
        <v>17</v>
      </c>
      <c r="B9" s="3">
        <v>1</v>
      </c>
    </row>
    <row r="10" spans="1:2" x14ac:dyDescent="0.3">
      <c r="A10" s="2" t="s">
        <v>15</v>
      </c>
      <c r="B10" s="3">
        <v>109</v>
      </c>
    </row>
    <row r="11" spans="1:2" x14ac:dyDescent="0.3">
      <c r="A11" s="2" t="s">
        <v>14</v>
      </c>
      <c r="B11" s="3">
        <v>1</v>
      </c>
    </row>
    <row r="12" spans="1:2" x14ac:dyDescent="0.3">
      <c r="A12" s="2" t="s">
        <v>12</v>
      </c>
      <c r="B12" s="3">
        <v>56</v>
      </c>
    </row>
    <row r="13" spans="1:2" x14ac:dyDescent="0.3">
      <c r="A13" s="2" t="s">
        <v>9</v>
      </c>
      <c r="B13" s="3">
        <v>6</v>
      </c>
    </row>
    <row r="14" spans="1:2" x14ac:dyDescent="0.3">
      <c r="A14" s="2" t="s">
        <v>8</v>
      </c>
      <c r="B14" s="3">
        <v>2</v>
      </c>
    </row>
    <row r="15" spans="1:2" x14ac:dyDescent="0.3">
      <c r="A15" s="2" t="s">
        <v>5</v>
      </c>
      <c r="B15" s="3">
        <v>45</v>
      </c>
    </row>
    <row r="16" spans="1:2" x14ac:dyDescent="0.3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B867-66F8-4686-B534-3A0F74638CA7}">
  <dimension ref="A3:B25"/>
  <sheetViews>
    <sheetView tabSelected="1" workbookViewId="0">
      <selection activeCell="E22" sqref="E22"/>
    </sheetView>
  </sheetViews>
  <sheetFormatPr defaultRowHeight="14.4" x14ac:dyDescent="0.3"/>
  <cols>
    <col min="1" max="1" width="30.109375" bestFit="1" customWidth="1"/>
    <col min="2" max="3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 s="3">
        <v>1221</v>
      </c>
    </row>
    <row r="5" spans="1:2" x14ac:dyDescent="0.3">
      <c r="A5" s="4" t="s">
        <v>16</v>
      </c>
      <c r="B5" s="3">
        <v>5</v>
      </c>
    </row>
    <row r="6" spans="1:2" x14ac:dyDescent="0.3">
      <c r="A6" s="4" t="s">
        <v>13</v>
      </c>
      <c r="B6" s="3">
        <v>248</v>
      </c>
    </row>
    <row r="7" spans="1:2" x14ac:dyDescent="0.3">
      <c r="A7" s="4" t="s">
        <v>11</v>
      </c>
      <c r="B7" s="3">
        <v>98</v>
      </c>
    </row>
    <row r="8" spans="1:2" x14ac:dyDescent="0.3">
      <c r="A8" s="4" t="s">
        <v>28</v>
      </c>
      <c r="B8" s="3">
        <v>276</v>
      </c>
    </row>
    <row r="9" spans="1:2" x14ac:dyDescent="0.3">
      <c r="A9" s="4" t="s">
        <v>6</v>
      </c>
      <c r="B9" s="3">
        <v>93</v>
      </c>
    </row>
    <row r="10" spans="1:2" x14ac:dyDescent="0.3">
      <c r="A10" s="4" t="s">
        <v>4</v>
      </c>
      <c r="B10" s="3">
        <v>37</v>
      </c>
    </row>
    <row r="11" spans="1:2" x14ac:dyDescent="0.3">
      <c r="A11" s="4" t="s">
        <v>7</v>
      </c>
      <c r="B11" s="3">
        <v>53</v>
      </c>
    </row>
    <row r="12" spans="1:2" x14ac:dyDescent="0.3">
      <c r="A12" s="4" t="s">
        <v>27</v>
      </c>
      <c r="B12" s="3">
        <v>379</v>
      </c>
    </row>
    <row r="13" spans="1:2" x14ac:dyDescent="0.3">
      <c r="A13" s="4" t="s">
        <v>10</v>
      </c>
      <c r="B13" s="3">
        <v>32</v>
      </c>
    </row>
    <row r="14" spans="1:2" x14ac:dyDescent="0.3">
      <c r="A14" s="2" t="s">
        <v>25</v>
      </c>
      <c r="B14" s="3">
        <v>16</v>
      </c>
    </row>
    <row r="15" spans="1:2" x14ac:dyDescent="0.3">
      <c r="A15" s="2" t="s">
        <v>24</v>
      </c>
      <c r="B15" s="3">
        <v>5</v>
      </c>
    </row>
    <row r="16" spans="1:2" x14ac:dyDescent="0.3">
      <c r="A16" s="2" t="s">
        <v>19</v>
      </c>
      <c r="B16" s="3">
        <v>85</v>
      </c>
    </row>
    <row r="17" spans="1:2" x14ac:dyDescent="0.3">
      <c r="A17" s="2" t="s">
        <v>18</v>
      </c>
      <c r="B17" s="3">
        <v>35</v>
      </c>
    </row>
    <row r="18" spans="1:2" x14ac:dyDescent="0.3">
      <c r="A18" s="2" t="s">
        <v>17</v>
      </c>
      <c r="B18" s="3">
        <v>1</v>
      </c>
    </row>
    <row r="19" spans="1:2" x14ac:dyDescent="0.3">
      <c r="A19" s="2" t="s">
        <v>15</v>
      </c>
      <c r="B19" s="3">
        <v>109</v>
      </c>
    </row>
    <row r="20" spans="1:2" x14ac:dyDescent="0.3">
      <c r="A20" s="2" t="s">
        <v>14</v>
      </c>
      <c r="B20" s="3">
        <v>1</v>
      </c>
    </row>
    <row r="21" spans="1:2" x14ac:dyDescent="0.3">
      <c r="A21" s="2" t="s">
        <v>12</v>
      </c>
      <c r="B21" s="3">
        <v>56</v>
      </c>
    </row>
    <row r="22" spans="1:2" x14ac:dyDescent="0.3">
      <c r="A22" s="2" t="s">
        <v>9</v>
      </c>
      <c r="B22" s="3">
        <v>6</v>
      </c>
    </row>
    <row r="23" spans="1:2" x14ac:dyDescent="0.3">
      <c r="A23" s="2" t="s">
        <v>8</v>
      </c>
      <c r="B23" s="3">
        <v>2</v>
      </c>
    </row>
    <row r="24" spans="1:2" x14ac:dyDescent="0.3">
      <c r="A24" s="2" t="s">
        <v>5</v>
      </c>
      <c r="B24" s="3">
        <v>45</v>
      </c>
    </row>
    <row r="25" spans="1:2" x14ac:dyDescent="0.3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F26D-7943-4715-A9FC-66D1DF15175B}">
  <dimension ref="A3:B21"/>
  <sheetViews>
    <sheetView workbookViewId="0">
      <selection activeCell="C15" sqref="C15"/>
    </sheetView>
  </sheetViews>
  <sheetFormatPr defaultRowHeight="14.4" x14ac:dyDescent="0.3"/>
  <cols>
    <col min="1" max="1" width="27" bestFit="1" customWidth="1"/>
    <col min="2" max="3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16</v>
      </c>
      <c r="B4" s="3">
        <v>15</v>
      </c>
    </row>
    <row r="5" spans="1:2" x14ac:dyDescent="0.3">
      <c r="A5" s="4" t="s">
        <v>26</v>
      </c>
      <c r="B5" s="3">
        <v>5</v>
      </c>
    </row>
    <row r="6" spans="1:2" x14ac:dyDescent="0.3">
      <c r="A6" s="4" t="s">
        <v>25</v>
      </c>
      <c r="B6" s="3">
        <v>1</v>
      </c>
    </row>
    <row r="7" spans="1:2" x14ac:dyDescent="0.3">
      <c r="A7" s="4" t="s">
        <v>15</v>
      </c>
      <c r="B7" s="3">
        <v>9</v>
      </c>
    </row>
    <row r="8" spans="1:2" x14ac:dyDescent="0.3">
      <c r="A8" s="2" t="s">
        <v>13</v>
      </c>
      <c r="B8" s="3">
        <v>290</v>
      </c>
    </row>
    <row r="9" spans="1:2" x14ac:dyDescent="0.3">
      <c r="A9" s="2" t="s">
        <v>11</v>
      </c>
      <c r="B9" s="3">
        <v>100</v>
      </c>
    </row>
    <row r="10" spans="1:2" x14ac:dyDescent="0.3">
      <c r="A10" s="2" t="s">
        <v>28</v>
      </c>
      <c r="B10" s="3">
        <v>283</v>
      </c>
    </row>
    <row r="11" spans="1:2" x14ac:dyDescent="0.3">
      <c r="A11" s="2" t="s">
        <v>6</v>
      </c>
      <c r="B11" s="3">
        <v>150</v>
      </c>
    </row>
    <row r="12" spans="1:2" x14ac:dyDescent="0.3">
      <c r="A12" s="2" t="s">
        <v>21</v>
      </c>
      <c r="B12" s="3">
        <v>4</v>
      </c>
    </row>
    <row r="13" spans="1:2" x14ac:dyDescent="0.3">
      <c r="A13" s="2" t="s">
        <v>23</v>
      </c>
      <c r="B13" s="3">
        <v>1</v>
      </c>
    </row>
    <row r="14" spans="1:2" x14ac:dyDescent="0.3">
      <c r="A14" s="2" t="s">
        <v>22</v>
      </c>
      <c r="B14" s="3">
        <v>47</v>
      </c>
    </row>
    <row r="15" spans="1:2" x14ac:dyDescent="0.3">
      <c r="A15" s="2" t="s">
        <v>3</v>
      </c>
      <c r="B15" s="3">
        <v>20</v>
      </c>
    </row>
    <row r="16" spans="1:2" x14ac:dyDescent="0.3">
      <c r="A16" s="2" t="s">
        <v>20</v>
      </c>
      <c r="B16" s="3">
        <v>8</v>
      </c>
    </row>
    <row r="17" spans="1:2" x14ac:dyDescent="0.3">
      <c r="A17" s="2" t="s">
        <v>4</v>
      </c>
      <c r="B17" s="3">
        <v>130</v>
      </c>
    </row>
    <row r="18" spans="1:2" x14ac:dyDescent="0.3">
      <c r="A18" s="2" t="s">
        <v>7</v>
      </c>
      <c r="B18" s="3">
        <v>90</v>
      </c>
    </row>
    <row r="19" spans="1:2" x14ac:dyDescent="0.3">
      <c r="A19" s="2" t="s">
        <v>27</v>
      </c>
      <c r="B19" s="3">
        <v>379</v>
      </c>
    </row>
    <row r="20" spans="1:2" x14ac:dyDescent="0.3">
      <c r="A20" s="2" t="s">
        <v>10</v>
      </c>
      <c r="B20" s="3">
        <v>65</v>
      </c>
    </row>
    <row r="21" spans="1:2" x14ac:dyDescent="0.3">
      <c r="A21" s="2" t="s">
        <v>35</v>
      </c>
      <c r="B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imandi</cp:lastModifiedBy>
  <dcterms:created xsi:type="dcterms:W3CDTF">2020-09-01T17:18:12Z</dcterms:created>
  <dcterms:modified xsi:type="dcterms:W3CDTF">2026-04-12T09:57:23Z</dcterms:modified>
</cp:coreProperties>
</file>